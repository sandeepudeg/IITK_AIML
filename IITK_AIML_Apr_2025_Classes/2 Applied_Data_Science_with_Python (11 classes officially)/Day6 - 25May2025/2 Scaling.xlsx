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<sst xmlns="http://schemas.openxmlformats.org/spreadsheetml/2006/main" count="7" uniqueCount="7">
  <si>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Profit</t>
  </si>
  <si>
    <t>Standard Scaling</t>
  </si>
  <si>
    <t>Minmax Scaling</t>
  </si>
  <si>
    <t>Mean</t>
  </si>
  <si>
    <t>SD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</si>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</sst>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13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4" numFmtId="0" xfId="0" applyAlignment="1" applyBorder="1" applyFont="1">
      <alignment shrinkToFit="0" wrapText="1"/>
    </xf>
    <xf borderId="0" fillId="2" fontId="4" numFmtId="0" xfId="0" applyAlignment="1" applyFill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3" fontId="4" numFmtId="0" xfId="0" applyAlignment="1" applyFill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4" fontId="4" numFmtId="0" xfId="0" applyAlignment="1" applyFill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400050</xdr:rowOff>
    </xdr:from>
    <xdr:ext cx="2505075" cy="1781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10</xdr:row>
      <xdr:rowOff>152400</xdr:rowOff>
    </xdr:from>
    <xdr:ext cx="4324350" cy="1333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5.5512</v>
      </c>
      <c r="B2" s="4">
        <f t="shared" ref="B2:B22" si="1">(A2-$A$23)/$A$24</f>
        <v>-0.3191888716</v>
      </c>
      <c r="C2" s="4">
        <f t="shared" ref="C2:C22" si="2">(A2-$A$25)/($A$26-$A$25)</f>
        <v>0.08669564658</v>
      </c>
    </row>
    <row r="3">
      <c r="A3" s="3">
        <v>-5.487</v>
      </c>
      <c r="B3" s="4">
        <f t="shared" si="1"/>
        <v>-0.3834925631</v>
      </c>
      <c r="C3" s="4">
        <f t="shared" si="2"/>
        <v>0.07308810618</v>
      </c>
    </row>
    <row r="4">
      <c r="A4" s="3">
        <v>4.2717</v>
      </c>
      <c r="B4" s="4">
        <f t="shared" si="1"/>
        <v>-0.326642675</v>
      </c>
      <c r="C4" s="4">
        <f t="shared" si="2"/>
        <v>0.08511831985</v>
      </c>
    </row>
    <row r="5">
      <c r="A5" s="3">
        <v>-64.7748</v>
      </c>
      <c r="B5" s="4">
        <f t="shared" si="1"/>
        <v>-0.7288771728</v>
      </c>
      <c r="C5" s="4">
        <f t="shared" si="2"/>
        <v>0</v>
      </c>
    </row>
    <row r="6">
      <c r="A6" s="3">
        <v>4.884</v>
      </c>
      <c r="B6" s="4">
        <f t="shared" si="1"/>
        <v>-0.3230756849</v>
      </c>
      <c r="C6" s="4">
        <f t="shared" si="2"/>
        <v>0.08587314373</v>
      </c>
    </row>
    <row r="7">
      <c r="A7" s="3">
        <v>5.2398</v>
      </c>
      <c r="B7" s="4">
        <f t="shared" si="1"/>
        <v>-0.3210029508</v>
      </c>
      <c r="C7" s="4">
        <f t="shared" si="2"/>
        <v>0.0863117626</v>
      </c>
    </row>
    <row r="8">
      <c r="A8" s="3">
        <v>9.3312</v>
      </c>
      <c r="B8" s="4">
        <f t="shared" si="1"/>
        <v>-0.2971682565</v>
      </c>
      <c r="C8" s="4">
        <f t="shared" si="2"/>
        <v>0.09135550984</v>
      </c>
    </row>
    <row r="9">
      <c r="A9" s="3">
        <v>746.4078</v>
      </c>
      <c r="B9" s="4">
        <f t="shared" si="1"/>
        <v>3.996715373</v>
      </c>
      <c r="C9" s="4">
        <f t="shared" si="2"/>
        <v>1</v>
      </c>
    </row>
    <row r="10">
      <c r="A10" s="3">
        <v>1.4796</v>
      </c>
      <c r="B10" s="4">
        <f t="shared" si="1"/>
        <v>-0.3429082199</v>
      </c>
      <c r="C10" s="4">
        <f t="shared" si="2"/>
        <v>0.08167630815</v>
      </c>
    </row>
    <row r="11">
      <c r="A11" s="3">
        <v>274.491</v>
      </c>
      <c r="B11" s="4">
        <f t="shared" si="1"/>
        <v>1.24753595</v>
      </c>
      <c r="C11" s="4">
        <f t="shared" si="2"/>
        <v>0.418236042</v>
      </c>
    </row>
    <row r="12">
      <c r="A12" s="3">
        <v>0.3112</v>
      </c>
      <c r="B12" s="4">
        <f t="shared" si="1"/>
        <v>-0.3497148037</v>
      </c>
      <c r="C12" s="4">
        <f t="shared" si="2"/>
        <v>0.08023594194</v>
      </c>
    </row>
    <row r="13">
      <c r="A13" s="3">
        <v>3.0084</v>
      </c>
      <c r="B13" s="4">
        <f t="shared" si="1"/>
        <v>-0.3340021044</v>
      </c>
      <c r="C13" s="4">
        <f t="shared" si="2"/>
        <v>0.08356096396</v>
      </c>
    </row>
    <row r="14">
      <c r="A14" s="3">
        <v>113.6742</v>
      </c>
      <c r="B14" s="4">
        <f t="shared" si="1"/>
        <v>0.3106881041</v>
      </c>
      <c r="C14" s="4">
        <f t="shared" si="2"/>
        <v>0.2199862275</v>
      </c>
    </row>
    <row r="15">
      <c r="A15" s="3">
        <v>204.1092</v>
      </c>
      <c r="B15" s="4">
        <f t="shared" si="1"/>
        <v>0.8375225825</v>
      </c>
      <c r="C15" s="4">
        <f t="shared" si="2"/>
        <v>0.331471607</v>
      </c>
    </row>
    <row r="16">
      <c r="A16" s="3">
        <v>-53.7096</v>
      </c>
      <c r="B16" s="4">
        <f t="shared" si="1"/>
        <v>-0.6644161913</v>
      </c>
      <c r="C16" s="4">
        <f t="shared" si="2"/>
        <v>0.01364082514</v>
      </c>
    </row>
    <row r="17">
      <c r="A17" s="3">
        <v>-18.2525</v>
      </c>
      <c r="B17" s="4">
        <f t="shared" si="1"/>
        <v>-0.4578587436</v>
      </c>
      <c r="C17" s="4">
        <f t="shared" si="2"/>
        <v>0.05735120551</v>
      </c>
    </row>
    <row r="18">
      <c r="A18" s="3">
        <v>1.168</v>
      </c>
      <c r="B18" s="4">
        <f t="shared" si="1"/>
        <v>-0.3447234642</v>
      </c>
      <c r="C18" s="4">
        <f t="shared" si="2"/>
        <v>0.08129217762</v>
      </c>
    </row>
    <row r="19">
      <c r="A19" s="3">
        <v>9.75</v>
      </c>
      <c r="B19" s="4">
        <f t="shared" si="1"/>
        <v>-0.2947285121</v>
      </c>
      <c r="C19" s="4">
        <f t="shared" si="2"/>
        <v>0.09187179311</v>
      </c>
    </row>
    <row r="20">
      <c r="A20" s="3">
        <v>21.2954</v>
      </c>
      <c r="B20" s="4">
        <f t="shared" si="1"/>
        <v>-0.2274700969</v>
      </c>
      <c r="C20" s="4">
        <f t="shared" si="2"/>
        <v>0.1061045935</v>
      </c>
    </row>
    <row r="21">
      <c r="A21" s="3">
        <v>1.3583</v>
      </c>
      <c r="B21" s="4">
        <f t="shared" si="1"/>
        <v>-0.3436148603</v>
      </c>
      <c r="C21" s="4">
        <f t="shared" si="2"/>
        <v>0.08152677338</v>
      </c>
    </row>
    <row r="22">
      <c r="A22" s="3">
        <v>3.0814</v>
      </c>
      <c r="B22" s="4">
        <f t="shared" si="1"/>
        <v>-0.3335768386</v>
      </c>
      <c r="C22" s="4">
        <f t="shared" si="2"/>
        <v>0.08365095602</v>
      </c>
    </row>
    <row r="23">
      <c r="A23" s="5">
        <f t="shared" ref="A23:B23" si="3">AVERAGE(A2:A22)</f>
        <v>60.34230952</v>
      </c>
      <c r="B23" s="5">
        <f t="shared" si="3"/>
        <v>0</v>
      </c>
      <c r="C23" s="6" t="s">
        <v>3</v>
      </c>
    </row>
    <row r="24">
      <c r="A24" s="7">
        <f t="shared" ref="A24:B24" si="4">STDEVP(A2:A22)</f>
        <v>171.6573302</v>
      </c>
      <c r="B24" s="7">
        <f t="shared" si="4"/>
        <v>1</v>
      </c>
      <c r="C24" s="8" t="s">
        <v>4</v>
      </c>
    </row>
    <row r="25">
      <c r="A25" s="9">
        <f>MIN(A2:A22)</f>
        <v>-64.7748</v>
      </c>
      <c r="B25" s="10" t="s">
        <v>5</v>
      </c>
      <c r="C25" s="11"/>
    </row>
    <row r="26">
      <c r="A26" s="9">
        <f>MAX(A4:A22)</f>
        <v>746.4078</v>
      </c>
      <c r="B26" s="10" t="s">
        <v>6</v>
      </c>
      <c r="C26" s="11"/>
    </row>
  </sheetData>
  <drawing r:id="rId1"/>
</worksheet>
</file>