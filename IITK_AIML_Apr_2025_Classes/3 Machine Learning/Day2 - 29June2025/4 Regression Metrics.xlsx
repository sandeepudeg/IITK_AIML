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<sst xmlns="http://schemas.openxmlformats.org/spreadsheetml/2006/main" count="24" uniqueCount="22">
  <si>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TV (X1)</t>
  </si>
  <si>
    <t>Radio (X2)</t>
  </si>
  <si>
    <t>Newspaper (X3)</t>
  </si>
  <si>
    <t>Sales(actual) - y</t>
  </si>
  <si>
    <t>Sales(predicted) - yhat</t>
  </si>
  <si>
    <t>(y - yhat)</t>
  </si>
  <si>
    <t>abs(y-yhat)</t>
  </si>
  <si>
    <t>(y - yhat) * (y - yhat)</t>
  </si>
  <si>
    <t>(y-ybar)</t>
  </si>
  <si>
    <t>(y-ybar) * (y-ybar)</t>
  </si>
  <si>
    <t>ybar</t>
  </si>
  <si>
    <t>Total</t>
  </si>
  <si>
    <t>ME</t>
  </si>
  <si>
    <t>MAE</t>
  </si>
  <si>
    <t>MSE</t>
  </si>
  <si>
    <t>RMSE</t>
  </si>
  <si>
    <t>n</t>
  </si>
  <si>
    <t>p</t>
  </si>
  <si>
    <t>num</t>
  </si>
  <si>
    <t>den</t>
  </si>
  <si>
    <t>R2</t>
  </si>
  <si>
    <t>AR2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</si>
</sst>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Fill="1" applyFont="1"/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11</xdr:row>
      <xdr:rowOff>76200</xdr:rowOff>
    </xdr:from>
    <xdr:ext cx="1600200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17</xdr:row>
      <xdr:rowOff>57150</xdr:rowOff>
    </xdr:from>
    <xdr:ext cx="2400300" cy="914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8" max="8" width="15.75"/>
    <col customWidth="1" min="10" max="10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230.0</v>
      </c>
      <c r="B2" s="2">
        <v>40.0</v>
      </c>
      <c r="C2" s="2">
        <v>70.0</v>
      </c>
      <c r="D2" s="2">
        <v>22.0</v>
      </c>
      <c r="E2" s="2">
        <v>23.5</v>
      </c>
      <c r="F2" s="3">
        <f t="shared" ref="F2:F6" si="1">D2-E2</f>
        <v>-1.5</v>
      </c>
      <c r="G2" s="3">
        <f t="shared" ref="G2:G6" si="2">ABS(F2)</f>
        <v>1.5</v>
      </c>
      <c r="H2" s="3">
        <f t="shared" ref="H2:H6" si="3">F2*F2</f>
        <v>2.25</v>
      </c>
      <c r="I2" s="3">
        <f t="shared" ref="I2:I6" si="4">D2-$D$7</f>
        <v>3.6</v>
      </c>
      <c r="J2" s="3">
        <f t="shared" ref="J2:J6" si="5">I2*I2</f>
        <v>12.96</v>
      </c>
    </row>
    <row r="3">
      <c r="A3" s="2">
        <v>45.0</v>
      </c>
      <c r="B3" s="2">
        <v>42.0</v>
      </c>
      <c r="C3" s="2">
        <v>45.0</v>
      </c>
      <c r="D3" s="2">
        <v>10.0</v>
      </c>
      <c r="E3" s="2">
        <v>12.0</v>
      </c>
      <c r="F3" s="3">
        <f t="shared" si="1"/>
        <v>-2</v>
      </c>
      <c r="G3" s="3">
        <f t="shared" si="2"/>
        <v>2</v>
      </c>
      <c r="H3" s="3">
        <f t="shared" si="3"/>
        <v>4</v>
      </c>
      <c r="I3" s="3">
        <f t="shared" si="4"/>
        <v>-8.4</v>
      </c>
      <c r="J3" s="3">
        <f t="shared" si="5"/>
        <v>70.56</v>
      </c>
    </row>
    <row r="4">
      <c r="A4" s="2">
        <v>20.0</v>
      </c>
      <c r="B4" s="2">
        <v>45.0</v>
      </c>
      <c r="C4" s="2">
        <v>60.0</v>
      </c>
      <c r="D4" s="2">
        <v>15.0</v>
      </c>
      <c r="E4" s="2">
        <v>14.2</v>
      </c>
      <c r="F4" s="3">
        <f t="shared" si="1"/>
        <v>0.8</v>
      </c>
      <c r="G4" s="3">
        <f t="shared" si="2"/>
        <v>0.8</v>
      </c>
      <c r="H4" s="3">
        <f t="shared" si="3"/>
        <v>0.64</v>
      </c>
      <c r="I4" s="3">
        <f t="shared" si="4"/>
        <v>-3.4</v>
      </c>
      <c r="J4" s="3">
        <f t="shared" si="5"/>
        <v>11.56</v>
      </c>
    </row>
    <row r="5">
      <c r="A5" s="2">
        <v>150.0</v>
      </c>
      <c r="B5" s="2">
        <v>41.0</v>
      </c>
      <c r="C5" s="2">
        <v>55.0</v>
      </c>
      <c r="D5" s="2">
        <v>20.0</v>
      </c>
      <c r="E5" s="2">
        <v>17.3</v>
      </c>
      <c r="F5" s="3">
        <f t="shared" si="1"/>
        <v>2.7</v>
      </c>
      <c r="G5" s="3">
        <f t="shared" si="2"/>
        <v>2.7</v>
      </c>
      <c r="H5" s="3">
        <f t="shared" si="3"/>
        <v>7.29</v>
      </c>
      <c r="I5" s="3">
        <f t="shared" si="4"/>
        <v>1.6</v>
      </c>
      <c r="J5" s="3">
        <f t="shared" si="5"/>
        <v>2.56</v>
      </c>
    </row>
    <row r="6">
      <c r="A6" s="2">
        <v>180.0</v>
      </c>
      <c r="B6" s="2">
        <v>12.0</v>
      </c>
      <c r="C6" s="2">
        <v>30.0</v>
      </c>
      <c r="D6" s="2">
        <v>25.0</v>
      </c>
      <c r="E6" s="2">
        <v>24.9</v>
      </c>
      <c r="F6" s="3">
        <f t="shared" si="1"/>
        <v>0.1</v>
      </c>
      <c r="G6" s="3">
        <f t="shared" si="2"/>
        <v>0.1</v>
      </c>
      <c r="H6" s="3">
        <f t="shared" si="3"/>
        <v>0.01</v>
      </c>
      <c r="I6" s="3">
        <f t="shared" si="4"/>
        <v>6.6</v>
      </c>
      <c r="J6" s="3">
        <f t="shared" si="5"/>
        <v>43.56</v>
      </c>
    </row>
    <row r="7">
      <c r="C7" s="2" t="s">
        <v>10</v>
      </c>
      <c r="D7" s="3">
        <f>AVERAGE(D2:D6)</f>
        <v>18.4</v>
      </c>
      <c r="E7" s="2" t="s">
        <v>11</v>
      </c>
      <c r="F7" s="3">
        <f t="shared" ref="F7:H7" si="6">SUM(F2:F6)</f>
        <v>0.1</v>
      </c>
      <c r="G7" s="3">
        <f t="shared" si="6"/>
        <v>7.1</v>
      </c>
      <c r="H7" s="3">
        <f t="shared" si="6"/>
        <v>14.19</v>
      </c>
      <c r="J7" s="3">
        <f>SUM(J2:J6)</f>
        <v>141.2</v>
      </c>
    </row>
    <row r="8">
      <c r="F8" s="4">
        <f>F7/B12</f>
        <v>0.02</v>
      </c>
      <c r="G8" s="4">
        <f>G7/B12</f>
        <v>1.42</v>
      </c>
      <c r="H8" s="4">
        <f>H7/B12</f>
        <v>2.838</v>
      </c>
    </row>
    <row r="9">
      <c r="F9" s="4" t="s">
        <v>12</v>
      </c>
      <c r="G9" s="4" t="s">
        <v>13</v>
      </c>
      <c r="H9" s="4" t="s">
        <v>14</v>
      </c>
    </row>
    <row r="11">
      <c r="G11" s="4" t="s">
        <v>15</v>
      </c>
      <c r="H11" s="4">
        <f>SQRT(H8)</f>
        <v>1.684636459</v>
      </c>
    </row>
    <row r="12">
      <c r="A12" s="5" t="s">
        <v>16</v>
      </c>
      <c r="B12" s="4">
        <f>COUNT(A2:A6)</f>
        <v>5</v>
      </c>
    </row>
    <row r="13">
      <c r="A13" s="2" t="s">
        <v>17</v>
      </c>
      <c r="B13" s="3">
        <f>COUNT(A2:C2)</f>
        <v>3</v>
      </c>
      <c r="K13" s="2" t="s">
        <v>18</v>
      </c>
      <c r="L13" s="3">
        <f>H7</f>
        <v>14.19</v>
      </c>
    </row>
    <row r="14">
      <c r="K14" s="2" t="s">
        <v>19</v>
      </c>
      <c r="L14" s="3">
        <f>J7</f>
        <v>141.2</v>
      </c>
    </row>
    <row r="15">
      <c r="K15" s="4" t="s">
        <v>20</v>
      </c>
      <c r="L15" s="4">
        <f>1-(L13/L14)</f>
        <v>0.8995042493</v>
      </c>
    </row>
    <row r="19">
      <c r="K19" s="2" t="s">
        <v>18</v>
      </c>
      <c r="L19" s="3">
        <f>(1-L15)*(B12-1)</f>
        <v>0.4019830028</v>
      </c>
    </row>
    <row r="20">
      <c r="K20" s="2" t="s">
        <v>19</v>
      </c>
      <c r="L20" s="3">
        <f>B12-B13-1</f>
        <v>1</v>
      </c>
    </row>
    <row r="21">
      <c r="K21" s="4" t="s">
        <v>21</v>
      </c>
      <c r="L21" s="4">
        <f>1-(L19/L20)</f>
        <v>0.5980169972</v>
      </c>
    </row>
  </sheetData>
  <drawing r:id="rId1"/>
</worksheet>
</file>